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slam\Dropbox\SlamaTech\Consulting\AUTO Programs Python\AutoOutput\Source\autoOutput\"/>
    </mc:Choice>
  </mc:AlternateContent>
  <xr:revisionPtr revIDLastSave="0" documentId="13_ncr:9_{81AF1826-F28E-4E82-BF9B-82E03354B179}" xr6:coauthVersionLast="47" xr6:coauthVersionMax="47" xr10:uidLastSave="{00000000-0000-0000-0000-000000000000}"/>
  <bookViews>
    <workbookView xWindow="5895" yWindow="2340" windowWidth="22905" windowHeight="13140" xr2:uid="{4A97495D-CC5B-40AE-82BB-D2328F3A5CDE}"/>
  </bookViews>
  <sheets>
    <sheet name="Chart1" sheetId="8" r:id="rId1"/>
    <sheet name="Chart2" sheetId="9" r:id="rId2"/>
    <sheet name="Sheet6" sheetId="7" r:id="rId3"/>
    <sheet name="8850YD50x36" sheetId="1" r:id="rId4"/>
    <sheet name="8850YD50x37" sheetId="3" r:id="rId5"/>
    <sheet name="8850YD50x38" sheetId="5" r:id="rId6"/>
    <sheet name="8850YD50x39" sheetId="2" r:id="rId7"/>
    <sheet name="8850YD50x40" sheetId="4" r:id="rId8"/>
    <sheet name="8850YD50x41" sheetId="6" r:id="rId9"/>
  </sheets>
  <calcPr calcId="0"/>
</workbook>
</file>

<file path=xl/calcChain.xml><?xml version="1.0" encoding="utf-8"?>
<calcChain xmlns="http://schemas.openxmlformats.org/spreadsheetml/2006/main">
  <c r="J7" i="7" l="1"/>
  <c r="K7" i="7"/>
  <c r="J8" i="7"/>
  <c r="K8" i="7"/>
  <c r="J9" i="7"/>
  <c r="K9" i="7"/>
  <c r="J10" i="7"/>
  <c r="K10" i="7"/>
  <c r="J11" i="7"/>
  <c r="K11" i="7"/>
  <c r="J12" i="7"/>
  <c r="K12" i="7"/>
  <c r="J13" i="7"/>
  <c r="K13" i="7"/>
  <c r="J14" i="7"/>
  <c r="K14" i="7"/>
  <c r="J15" i="7"/>
  <c r="K15" i="7"/>
  <c r="K6" i="7"/>
  <c r="J6" i="7"/>
  <c r="H7" i="7"/>
  <c r="I7" i="7"/>
  <c r="H8" i="7"/>
  <c r="I8" i="7"/>
  <c r="H9" i="7"/>
  <c r="I9" i="7"/>
  <c r="H10" i="7"/>
  <c r="I10" i="7"/>
  <c r="H11" i="7"/>
  <c r="I11" i="7"/>
  <c r="H12" i="7"/>
  <c r="I12" i="7"/>
  <c r="H13" i="7"/>
  <c r="I13" i="7"/>
  <c r="H14" i="7"/>
  <c r="I14" i="7"/>
  <c r="H15" i="7"/>
  <c r="I15" i="7"/>
  <c r="I6" i="7"/>
  <c r="H6" i="7"/>
</calcChain>
</file>

<file path=xl/sharedStrings.xml><?xml version="1.0" encoding="utf-8"?>
<sst xmlns="http://schemas.openxmlformats.org/spreadsheetml/2006/main" count="85" uniqueCount="32">
  <si>
    <t>autoOutput</t>
  </si>
  <si>
    <t xml:space="preserve"> 2025-05-05 21:01:00</t>
  </si>
  <si>
    <t>8850YD50x36.csv</t>
  </si>
  <si>
    <t>8850Y036</t>
  </si>
  <si>
    <t>Time</t>
  </si>
  <si>
    <t xml:space="preserve"> PulseWidth(us)</t>
  </si>
  <si>
    <t xml:space="preserve"> Vo(Vdc)</t>
  </si>
  <si>
    <t xml:space="preserve"> Ipk(A)</t>
  </si>
  <si>
    <t xml:space="preserve"> FinalTemp(C)</t>
  </si>
  <si>
    <t xml:space="preserve"> Vdss(V)</t>
  </si>
  <si>
    <t xml:space="preserve"> TempDiff(C)</t>
  </si>
  <si>
    <t xml:space="preserve"> Vin(Vdc)</t>
  </si>
  <si>
    <t xml:space="preserve"> PulseInd(uH)</t>
  </si>
  <si>
    <t>8850Y039</t>
  </si>
  <si>
    <t>8850YD50x39.csv</t>
  </si>
  <si>
    <t xml:space="preserve"> 2025-05-03 19:29:06</t>
  </si>
  <si>
    <t>8850Y037</t>
  </si>
  <si>
    <t>8850YD50x37.csv</t>
  </si>
  <si>
    <t xml:space="preserve"> 2025-05-05 21:01:44</t>
  </si>
  <si>
    <t>8850Y040</t>
  </si>
  <si>
    <t>8850YD50x40.csv</t>
  </si>
  <si>
    <t xml:space="preserve"> 2025-05-03 19:30:02</t>
  </si>
  <si>
    <t>8850Y038</t>
  </si>
  <si>
    <t>8850YD50x38.csv</t>
  </si>
  <si>
    <t xml:space="preserve"> 2025-05-03 19:28:09</t>
  </si>
  <si>
    <t>8850Y041</t>
  </si>
  <si>
    <t>8850YD50x41.csv</t>
  </si>
  <si>
    <t xml:space="preserve"> 2025-05-03 19:36:28</t>
  </si>
  <si>
    <t>Avg</t>
  </si>
  <si>
    <t>Std Dev</t>
  </si>
  <si>
    <t>-1std</t>
  </si>
  <si>
    <t>+1std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</si>
</sst>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0" fontId="0" fillId="0" borderId="0" xfId="0" quotePrefix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6.xml"/><Relationship Id="rId13" Type="http://schemas.openxmlformats.org/officeDocument/2006/relationships/calcChain" Target="calcChain.xml"/><Relationship Id="rId3" Type="http://schemas.openxmlformats.org/officeDocument/2006/relationships/worksheet" Target="worksheets/sheet1.xml"/><Relationship Id="rId7" Type="http://schemas.openxmlformats.org/officeDocument/2006/relationships/worksheet" Target="worksheets/sheet5.xml"/><Relationship Id="rId12" Type="http://schemas.openxmlformats.org/officeDocument/2006/relationships/sharedStrings" Target="sharedStrings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4.xml"/><Relationship Id="rId11" Type="http://schemas.openxmlformats.org/officeDocument/2006/relationships/styles" Target="styles.xml"/><Relationship Id="rId5" Type="http://schemas.openxmlformats.org/officeDocument/2006/relationships/worksheet" Target="worksheets/sheet3.xml"/><Relationship Id="rId10" Type="http://schemas.openxmlformats.org/officeDocument/2006/relationships/theme" Target="theme/theme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x36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'8850YD50x36'!$B$5:$B$14</c:f>
              <c:numCache>
                <c:formatCode>General</c:formatCode>
                <c:ptCount val="10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2.5</c:v>
                </c:pt>
                <c:pt idx="4">
                  <c:v>3</c:v>
                </c:pt>
                <c:pt idx="5">
                  <c:v>3.5</c:v>
                </c:pt>
                <c:pt idx="6">
                  <c:v>4</c:v>
                </c:pt>
                <c:pt idx="7">
                  <c:v>4.5</c:v>
                </c:pt>
                <c:pt idx="8">
                  <c:v>5</c:v>
                </c:pt>
                <c:pt idx="9">
                  <c:v>5.5</c:v>
                </c:pt>
              </c:numCache>
            </c:numRef>
          </c:cat>
          <c:val>
            <c:numRef>
              <c:f>'8850YD50x36'!$C$5:$C$14</c:f>
              <c:numCache>
                <c:formatCode>General</c:formatCode>
                <c:ptCount val="10"/>
                <c:pt idx="0">
                  <c:v>323.64400000000001</c:v>
                </c:pt>
                <c:pt idx="1">
                  <c:v>480.86500000000001</c:v>
                </c:pt>
                <c:pt idx="2">
                  <c:v>630.42999999999995</c:v>
                </c:pt>
                <c:pt idx="3">
                  <c:v>786.42</c:v>
                </c:pt>
                <c:pt idx="4">
                  <c:v>967.173</c:v>
                </c:pt>
                <c:pt idx="5">
                  <c:v>1127.653</c:v>
                </c:pt>
                <c:pt idx="6">
                  <c:v>1270.5899999999999</c:v>
                </c:pt>
                <c:pt idx="7">
                  <c:v>1460.7239999999999</c:v>
                </c:pt>
                <c:pt idx="8">
                  <c:v>1595.7449999999999</c:v>
                </c:pt>
                <c:pt idx="9">
                  <c:v>1780.221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FB-45A7-A108-0426E1D33FBD}"/>
            </c:ext>
          </c:extLst>
        </c:ser>
        <c:ser>
          <c:idx val="1"/>
          <c:order val="1"/>
          <c:tx>
            <c:v>x37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'8850YD50x37'!$C$5:$C$14</c:f>
              <c:numCache>
                <c:formatCode>General</c:formatCode>
                <c:ptCount val="10"/>
                <c:pt idx="0">
                  <c:v>502.48599999999999</c:v>
                </c:pt>
                <c:pt idx="1">
                  <c:v>503.214</c:v>
                </c:pt>
                <c:pt idx="2">
                  <c:v>642.98800000000006</c:v>
                </c:pt>
                <c:pt idx="3">
                  <c:v>803.40300000000002</c:v>
                </c:pt>
                <c:pt idx="4">
                  <c:v>980.77700000000004</c:v>
                </c:pt>
                <c:pt idx="5">
                  <c:v>1129.008</c:v>
                </c:pt>
                <c:pt idx="6">
                  <c:v>1281.652</c:v>
                </c:pt>
                <c:pt idx="7">
                  <c:v>1471.471</c:v>
                </c:pt>
                <c:pt idx="8">
                  <c:v>1601.846</c:v>
                </c:pt>
                <c:pt idx="9">
                  <c:v>1790.692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FB-45A7-A108-0426E1D33FBD}"/>
            </c:ext>
          </c:extLst>
        </c:ser>
        <c:ser>
          <c:idx val="2"/>
          <c:order val="2"/>
          <c:tx>
            <c:v>x38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'8850YD50x38'!$C$5:$C$14</c:f>
              <c:numCache>
                <c:formatCode>General</c:formatCode>
                <c:ptCount val="10"/>
                <c:pt idx="0">
                  <c:v>546.23900000000003</c:v>
                </c:pt>
                <c:pt idx="1">
                  <c:v>517.29700000000003</c:v>
                </c:pt>
                <c:pt idx="2">
                  <c:v>664.63099999999997</c:v>
                </c:pt>
                <c:pt idx="3">
                  <c:v>826.92700000000002</c:v>
                </c:pt>
                <c:pt idx="4">
                  <c:v>1008.335</c:v>
                </c:pt>
                <c:pt idx="5">
                  <c:v>1154.579</c:v>
                </c:pt>
                <c:pt idx="6">
                  <c:v>1317.569</c:v>
                </c:pt>
                <c:pt idx="7">
                  <c:v>1504.0039999999999</c:v>
                </c:pt>
                <c:pt idx="8">
                  <c:v>1637.32</c:v>
                </c:pt>
                <c:pt idx="9">
                  <c:v>1829.7660000000001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8FB-45A7-A108-0426E1D33FBD}"/>
            </c:ext>
          </c:extLst>
        </c:ser>
        <c:ser>
          <c:idx val="3"/>
          <c:order val="3"/>
          <c:tx>
            <c:v>x39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'8850YD50x39'!$C$5:$C$14</c:f>
              <c:numCache>
                <c:formatCode>General</c:formatCode>
                <c:ptCount val="10"/>
                <c:pt idx="0">
                  <c:v>351.50799999999998</c:v>
                </c:pt>
                <c:pt idx="1">
                  <c:v>502.72899999999998</c:v>
                </c:pt>
                <c:pt idx="2">
                  <c:v>660.80600000000004</c:v>
                </c:pt>
                <c:pt idx="3">
                  <c:v>825.827</c:v>
                </c:pt>
                <c:pt idx="4">
                  <c:v>1002.671</c:v>
                </c:pt>
                <c:pt idx="5">
                  <c:v>1158.6859999999999</c:v>
                </c:pt>
                <c:pt idx="6">
                  <c:v>1317.21</c:v>
                </c:pt>
                <c:pt idx="7">
                  <c:v>1506.03</c:v>
                </c:pt>
                <c:pt idx="8">
                  <c:v>1636.556</c:v>
                </c:pt>
                <c:pt idx="9">
                  <c:v>1829.954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8FB-45A7-A108-0426E1D33FBD}"/>
            </c:ext>
          </c:extLst>
        </c:ser>
        <c:ser>
          <c:idx val="4"/>
          <c:order val="4"/>
          <c:tx>
            <c:v>x40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'8850YD50x40'!$C$5:$C$14</c:f>
              <c:numCache>
                <c:formatCode>General</c:formatCode>
                <c:ptCount val="10"/>
                <c:pt idx="0">
                  <c:v>349.92899999999997</c:v>
                </c:pt>
                <c:pt idx="1">
                  <c:v>504.37900000000002</c:v>
                </c:pt>
                <c:pt idx="2">
                  <c:v>658.33</c:v>
                </c:pt>
                <c:pt idx="3">
                  <c:v>829.721</c:v>
                </c:pt>
                <c:pt idx="4">
                  <c:v>1005.789</c:v>
                </c:pt>
                <c:pt idx="5">
                  <c:v>1157.021</c:v>
                </c:pt>
                <c:pt idx="6">
                  <c:v>1315.9780000000001</c:v>
                </c:pt>
                <c:pt idx="7">
                  <c:v>1506.575</c:v>
                </c:pt>
                <c:pt idx="8">
                  <c:v>1635.962</c:v>
                </c:pt>
                <c:pt idx="9">
                  <c:v>1831.8679999999999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8FB-45A7-A108-0426E1D33FBD}"/>
            </c:ext>
          </c:extLst>
        </c:ser>
        <c:ser>
          <c:idx val="5"/>
          <c:order val="5"/>
          <c:tx>
            <c:v>x41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'8850YD50x41'!$C$5:$C$14</c:f>
              <c:numCache>
                <c:formatCode>General</c:formatCode>
                <c:ptCount val="10"/>
                <c:pt idx="0">
                  <c:v>341.11</c:v>
                </c:pt>
                <c:pt idx="1">
                  <c:v>499.28699999999998</c:v>
                </c:pt>
                <c:pt idx="2">
                  <c:v>654.94399999999996</c:v>
                </c:pt>
                <c:pt idx="3">
                  <c:v>815.44799999999998</c:v>
                </c:pt>
                <c:pt idx="4">
                  <c:v>989.56</c:v>
                </c:pt>
                <c:pt idx="5">
                  <c:v>1154.8679999999999</c:v>
                </c:pt>
                <c:pt idx="6">
                  <c:v>1306.229</c:v>
                </c:pt>
                <c:pt idx="7">
                  <c:v>1496.4860000000001</c:v>
                </c:pt>
                <c:pt idx="8">
                  <c:v>1632.623</c:v>
                </c:pt>
                <c:pt idx="9">
                  <c:v>1819.7159999999999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8FB-45A7-A108-0426E1D33F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4825408"/>
        <c:axId val="2074824928"/>
      </c:lineChart>
      <c:catAx>
        <c:axId val="2074825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4824928"/>
        <c:crosses val="autoZero"/>
        <c:auto val="1"/>
        <c:lblAlgn val="ctr"/>
        <c:lblOffset val="100"/>
        <c:noMultiLvlLbl val="0"/>
      </c:catAx>
      <c:valAx>
        <c:axId val="2074824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4825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x36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'8850YD50x36'!$B$5:$B$14</c:f>
              <c:numCache>
                <c:formatCode>General</c:formatCode>
                <c:ptCount val="10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2.5</c:v>
                </c:pt>
                <c:pt idx="4">
                  <c:v>3</c:v>
                </c:pt>
                <c:pt idx="5">
                  <c:v>3.5</c:v>
                </c:pt>
                <c:pt idx="6">
                  <c:v>4</c:v>
                </c:pt>
                <c:pt idx="7">
                  <c:v>4.5</c:v>
                </c:pt>
                <c:pt idx="8">
                  <c:v>5</c:v>
                </c:pt>
                <c:pt idx="9">
                  <c:v>5.5</c:v>
                </c:pt>
              </c:numCache>
            </c:numRef>
          </c:cat>
          <c:val>
            <c:numRef>
              <c:f>'8850YD50x36'!$D$5:$D$14</c:f>
              <c:numCache>
                <c:formatCode>General</c:formatCode>
                <c:ptCount val="10"/>
                <c:pt idx="0">
                  <c:v>0.48499999999999999</c:v>
                </c:pt>
                <c:pt idx="1">
                  <c:v>0.65700000000000003</c:v>
                </c:pt>
                <c:pt idx="2">
                  <c:v>0.82799999999999996</c:v>
                </c:pt>
                <c:pt idx="3">
                  <c:v>1.012</c:v>
                </c:pt>
                <c:pt idx="4">
                  <c:v>1.2350000000000001</c:v>
                </c:pt>
                <c:pt idx="5">
                  <c:v>1.464</c:v>
                </c:pt>
                <c:pt idx="6">
                  <c:v>1.681</c:v>
                </c:pt>
                <c:pt idx="7">
                  <c:v>2.0470000000000002</c:v>
                </c:pt>
                <c:pt idx="8">
                  <c:v>2.3679999999999999</c:v>
                </c:pt>
                <c:pt idx="9">
                  <c:v>2.91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B31-4427-9358-52885A8DFDE9}"/>
            </c:ext>
          </c:extLst>
        </c:ser>
        <c:ser>
          <c:idx val="1"/>
          <c:order val="1"/>
          <c:tx>
            <c:v>x37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'8850YD50x36'!$B$5:$B$14</c:f>
              <c:numCache>
                <c:formatCode>General</c:formatCode>
                <c:ptCount val="10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2.5</c:v>
                </c:pt>
                <c:pt idx="4">
                  <c:v>3</c:v>
                </c:pt>
                <c:pt idx="5">
                  <c:v>3.5</c:v>
                </c:pt>
                <c:pt idx="6">
                  <c:v>4</c:v>
                </c:pt>
                <c:pt idx="7">
                  <c:v>4.5</c:v>
                </c:pt>
                <c:pt idx="8">
                  <c:v>5</c:v>
                </c:pt>
                <c:pt idx="9">
                  <c:v>5.5</c:v>
                </c:pt>
              </c:numCache>
            </c:numRef>
          </c:cat>
          <c:val>
            <c:numRef>
              <c:f>'8850YD50x37'!$D$5:$D$14</c:f>
              <c:numCache>
                <c:formatCode>General</c:formatCode>
                <c:ptCount val="10"/>
                <c:pt idx="0">
                  <c:v>0.496</c:v>
                </c:pt>
                <c:pt idx="1">
                  <c:v>0.66100000000000003</c:v>
                </c:pt>
                <c:pt idx="2">
                  <c:v>0.83799999999999997</c:v>
                </c:pt>
                <c:pt idx="3">
                  <c:v>1.0309999999999999</c:v>
                </c:pt>
                <c:pt idx="4">
                  <c:v>1.2669999999999999</c:v>
                </c:pt>
                <c:pt idx="5">
                  <c:v>1.4790000000000001</c:v>
                </c:pt>
                <c:pt idx="6">
                  <c:v>1.712</c:v>
                </c:pt>
                <c:pt idx="7">
                  <c:v>2.0880000000000001</c:v>
                </c:pt>
                <c:pt idx="8">
                  <c:v>2.4119999999999999</c:v>
                </c:pt>
                <c:pt idx="9">
                  <c:v>2.9769999999999999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B31-4427-9358-52885A8DFDE9}"/>
            </c:ext>
          </c:extLst>
        </c:ser>
        <c:ser>
          <c:idx val="2"/>
          <c:order val="2"/>
          <c:tx>
            <c:v>x38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'8850YD50x36'!$B$5:$B$14</c:f>
              <c:numCache>
                <c:formatCode>General</c:formatCode>
                <c:ptCount val="10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2.5</c:v>
                </c:pt>
                <c:pt idx="4">
                  <c:v>3</c:v>
                </c:pt>
                <c:pt idx="5">
                  <c:v>3.5</c:v>
                </c:pt>
                <c:pt idx="6">
                  <c:v>4</c:v>
                </c:pt>
                <c:pt idx="7">
                  <c:v>4.5</c:v>
                </c:pt>
                <c:pt idx="8">
                  <c:v>5</c:v>
                </c:pt>
                <c:pt idx="9">
                  <c:v>5.5</c:v>
                </c:pt>
              </c:numCache>
            </c:numRef>
          </c:cat>
          <c:val>
            <c:numRef>
              <c:f>'8850YD50x38'!$D$5:$D$14</c:f>
              <c:numCache>
                <c:formatCode>General</c:formatCode>
                <c:ptCount val="10"/>
                <c:pt idx="0">
                  <c:v>0.49199999999999999</c:v>
                </c:pt>
                <c:pt idx="1">
                  <c:v>0.66</c:v>
                </c:pt>
                <c:pt idx="2">
                  <c:v>0.84099999999999997</c:v>
                </c:pt>
                <c:pt idx="3">
                  <c:v>1.04</c:v>
                </c:pt>
                <c:pt idx="4">
                  <c:v>1.274</c:v>
                </c:pt>
                <c:pt idx="5">
                  <c:v>1.4790000000000001</c:v>
                </c:pt>
                <c:pt idx="6">
                  <c:v>1.7230000000000001</c:v>
                </c:pt>
                <c:pt idx="7">
                  <c:v>2.0870000000000002</c:v>
                </c:pt>
                <c:pt idx="8">
                  <c:v>2.4129999999999998</c:v>
                </c:pt>
                <c:pt idx="9">
                  <c:v>2.972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8B31-4427-9358-52885A8DFDE9}"/>
            </c:ext>
          </c:extLst>
        </c:ser>
        <c:ser>
          <c:idx val="3"/>
          <c:order val="3"/>
          <c:tx>
            <c:v>x39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'8850YD50x36'!$B$5:$B$14</c:f>
              <c:numCache>
                <c:formatCode>General</c:formatCode>
                <c:ptCount val="10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2.5</c:v>
                </c:pt>
                <c:pt idx="4">
                  <c:v>3</c:v>
                </c:pt>
                <c:pt idx="5">
                  <c:v>3.5</c:v>
                </c:pt>
                <c:pt idx="6">
                  <c:v>4</c:v>
                </c:pt>
                <c:pt idx="7">
                  <c:v>4.5</c:v>
                </c:pt>
                <c:pt idx="8">
                  <c:v>5</c:v>
                </c:pt>
                <c:pt idx="9">
                  <c:v>5.5</c:v>
                </c:pt>
              </c:numCache>
            </c:numRef>
          </c:cat>
          <c:val>
            <c:numRef>
              <c:f>'8850YD50x39'!$D$5:$D$14</c:f>
              <c:numCache>
                <c:formatCode>General</c:formatCode>
                <c:ptCount val="10"/>
                <c:pt idx="0">
                  <c:v>0.49199999999999999</c:v>
                </c:pt>
                <c:pt idx="1">
                  <c:v>0.66</c:v>
                </c:pt>
                <c:pt idx="2">
                  <c:v>0.83499999999999996</c:v>
                </c:pt>
                <c:pt idx="3">
                  <c:v>1.0349999999999999</c:v>
                </c:pt>
                <c:pt idx="4">
                  <c:v>1.2649999999999999</c:v>
                </c:pt>
                <c:pt idx="5">
                  <c:v>1.476</c:v>
                </c:pt>
                <c:pt idx="6">
                  <c:v>1.7210000000000001</c:v>
                </c:pt>
                <c:pt idx="7">
                  <c:v>2.09</c:v>
                </c:pt>
                <c:pt idx="8">
                  <c:v>2.4060000000000001</c:v>
                </c:pt>
                <c:pt idx="9">
                  <c:v>2.9649999999999999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8B31-4427-9358-52885A8DFDE9}"/>
            </c:ext>
          </c:extLst>
        </c:ser>
        <c:ser>
          <c:idx val="4"/>
          <c:order val="4"/>
          <c:tx>
            <c:v>x40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'8850YD50x36'!$B$5:$B$14</c:f>
              <c:numCache>
                <c:formatCode>General</c:formatCode>
                <c:ptCount val="10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2.5</c:v>
                </c:pt>
                <c:pt idx="4">
                  <c:v>3</c:v>
                </c:pt>
                <c:pt idx="5">
                  <c:v>3.5</c:v>
                </c:pt>
                <c:pt idx="6">
                  <c:v>4</c:v>
                </c:pt>
                <c:pt idx="7">
                  <c:v>4.5</c:v>
                </c:pt>
                <c:pt idx="8">
                  <c:v>5</c:v>
                </c:pt>
                <c:pt idx="9">
                  <c:v>5.5</c:v>
                </c:pt>
              </c:numCache>
            </c:numRef>
          </c:cat>
          <c:val>
            <c:numRef>
              <c:f>'8850YD50x40'!$D$5:$D$14</c:f>
              <c:numCache>
                <c:formatCode>General</c:formatCode>
                <c:ptCount val="10"/>
                <c:pt idx="0">
                  <c:v>0.49199999999999999</c:v>
                </c:pt>
                <c:pt idx="1">
                  <c:v>0.65800000000000003</c:v>
                </c:pt>
                <c:pt idx="2">
                  <c:v>0.83799999999999997</c:v>
                </c:pt>
                <c:pt idx="3">
                  <c:v>1.038</c:v>
                </c:pt>
                <c:pt idx="4">
                  <c:v>1.2709999999999999</c:v>
                </c:pt>
                <c:pt idx="5">
                  <c:v>1.4790000000000001</c:v>
                </c:pt>
                <c:pt idx="6">
                  <c:v>1.7230000000000001</c:v>
                </c:pt>
                <c:pt idx="7">
                  <c:v>2.0910000000000002</c:v>
                </c:pt>
                <c:pt idx="8">
                  <c:v>2.41</c:v>
                </c:pt>
                <c:pt idx="9">
                  <c:v>2.9769999999999999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8B31-4427-9358-52885A8DFDE9}"/>
            </c:ext>
          </c:extLst>
        </c:ser>
        <c:ser>
          <c:idx val="5"/>
          <c:order val="5"/>
          <c:tx>
            <c:v>x41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'8850YD50x36'!$B$5:$B$14</c:f>
              <c:numCache>
                <c:formatCode>General</c:formatCode>
                <c:ptCount val="10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2.5</c:v>
                </c:pt>
                <c:pt idx="4">
                  <c:v>3</c:v>
                </c:pt>
                <c:pt idx="5">
                  <c:v>3.5</c:v>
                </c:pt>
                <c:pt idx="6">
                  <c:v>4</c:v>
                </c:pt>
                <c:pt idx="7">
                  <c:v>4.5</c:v>
                </c:pt>
                <c:pt idx="8">
                  <c:v>5</c:v>
                </c:pt>
                <c:pt idx="9">
                  <c:v>5.5</c:v>
                </c:pt>
              </c:numCache>
            </c:numRef>
          </c:cat>
          <c:val>
            <c:numRef>
              <c:f>'8850YD50x41'!$D$5:$D$14</c:f>
              <c:numCache>
                <c:formatCode>General</c:formatCode>
                <c:ptCount val="10"/>
                <c:pt idx="0">
                  <c:v>0.48899999999999999</c:v>
                </c:pt>
                <c:pt idx="1">
                  <c:v>0.65800000000000003</c:v>
                </c:pt>
                <c:pt idx="2">
                  <c:v>0.83099999999999996</c:v>
                </c:pt>
                <c:pt idx="3">
                  <c:v>1.0189999999999999</c:v>
                </c:pt>
                <c:pt idx="4">
                  <c:v>1.244</c:v>
                </c:pt>
                <c:pt idx="5">
                  <c:v>1.466</c:v>
                </c:pt>
                <c:pt idx="6">
                  <c:v>1.6870000000000001</c:v>
                </c:pt>
                <c:pt idx="7">
                  <c:v>2.0510000000000002</c:v>
                </c:pt>
                <c:pt idx="8">
                  <c:v>2.36</c:v>
                </c:pt>
                <c:pt idx="9">
                  <c:v>2.903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8B31-4427-9358-52885A8DFD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4604448"/>
        <c:axId val="2074602528"/>
      </c:lineChart>
      <c:catAx>
        <c:axId val="2074604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4602528"/>
        <c:crosses val="autoZero"/>
        <c:auto val="1"/>
        <c:lblAlgn val="ctr"/>
        <c:lblOffset val="100"/>
        <c:noMultiLvlLbl val="0"/>
      </c:catAx>
      <c:valAx>
        <c:axId val="2074602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4604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B57AC43-5BCE-49F0-9E2B-F4CE8AF8816B}">
  <sheetPr/>
  <sheetViews>
    <sheetView tabSelected="1" zoomScale="89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7A1526B-D367-4F94-903F-AFCA8900C8E7}">
  <sheetPr/>
  <sheetViews>
    <sheetView zoomScale="131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7023" cy="6289408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BABE18-68A2-FE98-DEC5-1D17D2D88C7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7023" cy="6289408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E65426-A56F-C83F-F381-761FF8B123D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79412-8BBF-4AAA-B2CF-4F8DFB817A69}">
  <dimension ref="A5:K15"/>
  <sheetViews>
    <sheetView workbookViewId="0">
      <selection activeCell="M3" sqref="M3"/>
    </sheetView>
  </sheetViews>
  <sheetFormatPr defaultRowHeight="15" x14ac:dyDescent="0.25"/>
  <sheetData>
    <row r="5" spans="1:11" x14ac:dyDescent="0.25">
      <c r="A5" t="s">
        <v>5</v>
      </c>
      <c r="B5" t="s">
        <v>6</v>
      </c>
      <c r="C5" t="s">
        <v>6</v>
      </c>
      <c r="H5" t="s">
        <v>28</v>
      </c>
      <c r="I5" t="s">
        <v>29</v>
      </c>
      <c r="J5" s="2" t="s">
        <v>30</v>
      </c>
      <c r="K5" s="2" t="s">
        <v>31</v>
      </c>
    </row>
    <row r="6" spans="1:11" x14ac:dyDescent="0.25">
      <c r="A6">
        <v>1</v>
      </c>
      <c r="B6">
        <v>323.64400000000001</v>
      </c>
      <c r="C6">
        <v>502.48599999999999</v>
      </c>
      <c r="D6">
        <v>546.23900000000003</v>
      </c>
      <c r="E6">
        <v>351.50799999999998</v>
      </c>
      <c r="F6">
        <v>349.92899999999997</v>
      </c>
      <c r="G6">
        <v>341.11</v>
      </c>
      <c r="H6">
        <f>AVERAGE(B6:G6)</f>
        <v>402.48600000000005</v>
      </c>
      <c r="I6">
        <f>_xlfn.STDEV.P(B6:G6)</f>
        <v>87.568063129963804</v>
      </c>
      <c r="J6">
        <f>H6-I6</f>
        <v>314.91793687003621</v>
      </c>
      <c r="K6">
        <f>H6+I6</f>
        <v>490.05406312996388</v>
      </c>
    </row>
    <row r="7" spans="1:11" x14ac:dyDescent="0.25">
      <c r="A7">
        <v>1.5</v>
      </c>
      <c r="B7">
        <v>480.86500000000001</v>
      </c>
      <c r="C7" s="3">
        <v>503.214</v>
      </c>
      <c r="D7" s="3">
        <v>517.29700000000003</v>
      </c>
      <c r="E7" s="3">
        <v>502.72899999999998</v>
      </c>
      <c r="F7" s="3">
        <v>504.37900000000002</v>
      </c>
      <c r="G7" s="3">
        <v>499.28699999999998</v>
      </c>
      <c r="H7">
        <f t="shared" ref="H7:H15" si="0">AVERAGE(B7:G7)</f>
        <v>501.2951666666666</v>
      </c>
      <c r="I7">
        <f t="shared" ref="I7:I15" si="1">_xlfn.STDEV.P(B7:G7)</f>
        <v>10.745006133341928</v>
      </c>
      <c r="J7">
        <f t="shared" ref="J7:J15" si="2">H7-I7</f>
        <v>490.55016053332469</v>
      </c>
      <c r="K7">
        <f t="shared" ref="K7:K15" si="3">H7+I7</f>
        <v>512.04017280000858</v>
      </c>
    </row>
    <row r="8" spans="1:11" x14ac:dyDescent="0.25">
      <c r="A8">
        <v>2</v>
      </c>
      <c r="B8">
        <v>630.42999999999995</v>
      </c>
      <c r="C8" s="3">
        <v>642.98800000000006</v>
      </c>
      <c r="D8">
        <v>664.63099999999997</v>
      </c>
      <c r="E8" s="3">
        <v>660.80600000000004</v>
      </c>
      <c r="F8" s="3">
        <v>658.33</v>
      </c>
      <c r="G8" s="3">
        <v>654.94399999999996</v>
      </c>
      <c r="H8">
        <f t="shared" si="0"/>
        <v>652.02149999999995</v>
      </c>
      <c r="I8">
        <f t="shared" si="1"/>
        <v>11.777818866411566</v>
      </c>
      <c r="J8">
        <f t="shared" si="2"/>
        <v>640.24368113358832</v>
      </c>
      <c r="K8">
        <f t="shared" si="3"/>
        <v>663.79931886641157</v>
      </c>
    </row>
    <row r="9" spans="1:11" x14ac:dyDescent="0.25">
      <c r="A9">
        <v>2.5</v>
      </c>
      <c r="B9">
        <v>786.42</v>
      </c>
      <c r="C9" s="3">
        <v>803.40300000000002</v>
      </c>
      <c r="D9" s="3">
        <v>826.92700000000002</v>
      </c>
      <c r="E9" s="3">
        <v>825.827</v>
      </c>
      <c r="F9" s="3">
        <v>829.721</v>
      </c>
      <c r="G9" s="3">
        <v>815.44799999999998</v>
      </c>
      <c r="H9">
        <f t="shared" si="0"/>
        <v>814.62433333333331</v>
      </c>
      <c r="I9">
        <f t="shared" si="1"/>
        <v>15.421013041373859</v>
      </c>
      <c r="J9">
        <f t="shared" si="2"/>
        <v>799.20332029195947</v>
      </c>
      <c r="K9">
        <f t="shared" si="3"/>
        <v>830.04534637470715</v>
      </c>
    </row>
    <row r="10" spans="1:11" x14ac:dyDescent="0.25">
      <c r="A10">
        <v>3</v>
      </c>
      <c r="B10">
        <v>967.173</v>
      </c>
      <c r="C10" s="3">
        <v>980.77700000000004</v>
      </c>
      <c r="D10">
        <v>1008.335</v>
      </c>
      <c r="E10" s="3">
        <v>1002.671</v>
      </c>
      <c r="F10" s="3">
        <v>1005.789</v>
      </c>
      <c r="G10" s="3">
        <v>989.56</v>
      </c>
      <c r="H10">
        <f t="shared" si="0"/>
        <v>992.38416666666672</v>
      </c>
      <c r="I10">
        <f t="shared" si="1"/>
        <v>14.822520820434775</v>
      </c>
      <c r="J10">
        <f t="shared" si="2"/>
        <v>977.56164584623195</v>
      </c>
      <c r="K10">
        <f t="shared" si="3"/>
        <v>1007.2066874871015</v>
      </c>
    </row>
    <row r="11" spans="1:11" x14ac:dyDescent="0.25">
      <c r="A11">
        <v>3.5</v>
      </c>
      <c r="B11">
        <v>1127.653</v>
      </c>
      <c r="C11">
        <v>1129.008</v>
      </c>
      <c r="D11" s="3">
        <v>1154.579</v>
      </c>
      <c r="E11" s="3">
        <v>1158.6859999999999</v>
      </c>
      <c r="F11" s="3">
        <v>1157.021</v>
      </c>
      <c r="G11" s="3">
        <v>1154.8679999999999</v>
      </c>
      <c r="H11">
        <f t="shared" si="0"/>
        <v>1146.9691666666665</v>
      </c>
      <c r="I11">
        <f t="shared" si="1"/>
        <v>13.256083325737199</v>
      </c>
      <c r="J11">
        <f t="shared" si="2"/>
        <v>1133.7130833409294</v>
      </c>
      <c r="K11">
        <f t="shared" si="3"/>
        <v>1160.2252499924036</v>
      </c>
    </row>
    <row r="12" spans="1:11" x14ac:dyDescent="0.25">
      <c r="A12">
        <v>4</v>
      </c>
      <c r="B12">
        <v>1270.5899999999999</v>
      </c>
      <c r="C12">
        <v>1281.652</v>
      </c>
      <c r="D12" s="3">
        <v>1317.569</v>
      </c>
      <c r="E12" s="3">
        <v>1317.21</v>
      </c>
      <c r="F12" s="3">
        <v>1315.9780000000001</v>
      </c>
      <c r="G12" s="3">
        <v>1306.229</v>
      </c>
      <c r="H12">
        <f t="shared" si="0"/>
        <v>1301.5380000000002</v>
      </c>
      <c r="I12">
        <f t="shared" si="1"/>
        <v>18.647409677128554</v>
      </c>
      <c r="J12">
        <f t="shared" si="2"/>
        <v>1282.8905903228717</v>
      </c>
      <c r="K12">
        <f t="shared" si="3"/>
        <v>1320.1854096771287</v>
      </c>
    </row>
    <row r="13" spans="1:11" x14ac:dyDescent="0.25">
      <c r="A13">
        <v>4.5</v>
      </c>
      <c r="B13">
        <v>1460.7239999999999</v>
      </c>
      <c r="C13">
        <v>1471.471</v>
      </c>
      <c r="D13" s="3">
        <v>1504.0039999999999</v>
      </c>
      <c r="E13" s="3">
        <v>1506.03</v>
      </c>
      <c r="F13" s="3">
        <v>1506.575</v>
      </c>
      <c r="G13" s="3">
        <v>1496.4860000000001</v>
      </c>
      <c r="H13">
        <f t="shared" si="0"/>
        <v>1490.8816666666664</v>
      </c>
      <c r="I13">
        <f t="shared" si="1"/>
        <v>18.099796211253025</v>
      </c>
      <c r="J13">
        <f t="shared" si="2"/>
        <v>1472.7818704554134</v>
      </c>
      <c r="K13">
        <f t="shared" si="3"/>
        <v>1508.9814628779195</v>
      </c>
    </row>
    <row r="14" spans="1:11" x14ac:dyDescent="0.25">
      <c r="A14">
        <v>5</v>
      </c>
      <c r="B14">
        <v>1595.7449999999999</v>
      </c>
      <c r="C14">
        <v>1601.846</v>
      </c>
      <c r="D14" s="3">
        <v>1637.32</v>
      </c>
      <c r="E14" s="3">
        <v>1636.556</v>
      </c>
      <c r="F14" s="3">
        <v>1635.962</v>
      </c>
      <c r="G14" s="3">
        <v>1632.623</v>
      </c>
      <c r="H14">
        <f t="shared" si="0"/>
        <v>1623.3419999999999</v>
      </c>
      <c r="I14">
        <f t="shared" si="1"/>
        <v>17.507465388608779</v>
      </c>
      <c r="J14">
        <f t="shared" si="2"/>
        <v>1605.8345346113911</v>
      </c>
      <c r="K14">
        <f t="shared" si="3"/>
        <v>1640.8494653886087</v>
      </c>
    </row>
    <row r="15" spans="1:11" x14ac:dyDescent="0.25">
      <c r="A15">
        <v>5.5</v>
      </c>
      <c r="B15">
        <v>1780.221</v>
      </c>
      <c r="C15">
        <v>1790.692</v>
      </c>
      <c r="D15" s="3">
        <v>1829.7660000000001</v>
      </c>
      <c r="E15" s="3">
        <v>1829.954</v>
      </c>
      <c r="F15" s="3">
        <v>1831.8679999999999</v>
      </c>
      <c r="G15" s="3">
        <v>1819.7159999999999</v>
      </c>
      <c r="H15">
        <f t="shared" si="0"/>
        <v>1813.7028333333335</v>
      </c>
      <c r="I15">
        <f t="shared" si="1"/>
        <v>20.570159652732119</v>
      </c>
      <c r="J15">
        <f t="shared" si="2"/>
        <v>1793.1326736806013</v>
      </c>
      <c r="K15">
        <f t="shared" si="3"/>
        <v>1834.2729929860657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18A61-67DB-4E9D-BFE9-722E3B6B1D8C}">
  <dimension ref="A1:I14"/>
  <sheetViews>
    <sheetView workbookViewId="0">
      <selection activeCell="A20" sqref="A20"/>
    </sheetView>
  </sheetViews>
  <sheetFormatPr defaultRowHeight="15" x14ac:dyDescent="0.25"/>
  <cols>
    <col min="1" max="1" width="17.140625" customWidth="1"/>
  </cols>
  <sheetData>
    <row r="1" spans="1:9" x14ac:dyDescent="0.25">
      <c r="A1" t="s">
        <v>0</v>
      </c>
      <c r="B1" t="s">
        <v>1</v>
      </c>
    </row>
    <row r="2" spans="1:9" x14ac:dyDescent="0.25">
      <c r="A2" t="s">
        <v>2</v>
      </c>
    </row>
    <row r="3" spans="1:9" x14ac:dyDescent="0.25">
      <c r="A3" t="s">
        <v>3</v>
      </c>
    </row>
    <row r="4" spans="1:9" x14ac:dyDescent="0.25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</row>
    <row r="5" spans="1:9" x14ac:dyDescent="0.25">
      <c r="A5" s="1">
        <v>45782.875717592593</v>
      </c>
      <c r="B5">
        <v>1</v>
      </c>
      <c r="C5">
        <v>323.64400000000001</v>
      </c>
      <c r="D5">
        <v>0.48499999999999999</v>
      </c>
      <c r="E5">
        <v>21.8</v>
      </c>
      <c r="F5">
        <v>73.8</v>
      </c>
      <c r="G5">
        <v>0.1</v>
      </c>
      <c r="H5">
        <v>14.3</v>
      </c>
      <c r="I5">
        <v>29.56</v>
      </c>
    </row>
    <row r="6" spans="1:9" x14ac:dyDescent="0.25">
      <c r="A6" s="1">
        <v>45782.875787037039</v>
      </c>
      <c r="B6">
        <v>1.5</v>
      </c>
      <c r="C6">
        <v>480.86500000000001</v>
      </c>
      <c r="D6">
        <v>0.65700000000000003</v>
      </c>
      <c r="E6">
        <v>21.9</v>
      </c>
      <c r="F6">
        <v>100.6</v>
      </c>
      <c r="G6">
        <v>0.1</v>
      </c>
      <c r="H6">
        <v>15</v>
      </c>
      <c r="I6">
        <v>34.25</v>
      </c>
    </row>
    <row r="7" spans="1:9" x14ac:dyDescent="0.25">
      <c r="A7" s="1">
        <v>45782.875856481478</v>
      </c>
      <c r="B7">
        <v>2</v>
      </c>
      <c r="C7">
        <v>630.42999999999995</v>
      </c>
      <c r="D7">
        <v>0.82799999999999996</v>
      </c>
      <c r="E7">
        <v>22</v>
      </c>
      <c r="F7">
        <v>125.4</v>
      </c>
      <c r="G7">
        <v>0.1</v>
      </c>
      <c r="H7">
        <v>15</v>
      </c>
      <c r="I7">
        <v>36.24</v>
      </c>
    </row>
    <row r="8" spans="1:9" x14ac:dyDescent="0.25">
      <c r="A8" s="1">
        <v>45782.875925925924</v>
      </c>
      <c r="B8">
        <v>2.5</v>
      </c>
      <c r="C8">
        <v>786.42</v>
      </c>
      <c r="D8">
        <v>1.012</v>
      </c>
      <c r="E8">
        <v>22.2</v>
      </c>
      <c r="F8">
        <v>149.80000000000001</v>
      </c>
      <c r="G8">
        <v>0.1</v>
      </c>
      <c r="H8">
        <v>15</v>
      </c>
      <c r="I8">
        <v>37.04</v>
      </c>
    </row>
    <row r="9" spans="1:9" x14ac:dyDescent="0.25">
      <c r="A9" s="1">
        <v>45782.875960648147</v>
      </c>
      <c r="B9">
        <v>3</v>
      </c>
      <c r="C9">
        <v>967.173</v>
      </c>
      <c r="D9">
        <v>1.2350000000000001</v>
      </c>
      <c r="E9">
        <v>22.9</v>
      </c>
      <c r="F9">
        <v>178.6</v>
      </c>
      <c r="G9">
        <v>0.2</v>
      </c>
      <c r="H9">
        <v>15</v>
      </c>
      <c r="I9">
        <v>36.42</v>
      </c>
    </row>
    <row r="10" spans="1:9" x14ac:dyDescent="0.25">
      <c r="A10" s="1">
        <v>45782.87599537037</v>
      </c>
      <c r="B10">
        <v>3.5</v>
      </c>
      <c r="C10">
        <v>1127.653</v>
      </c>
      <c r="D10">
        <v>1.464</v>
      </c>
      <c r="E10">
        <v>22.7</v>
      </c>
      <c r="F10">
        <v>205.3</v>
      </c>
      <c r="G10">
        <v>-0.3</v>
      </c>
      <c r="H10">
        <v>15</v>
      </c>
      <c r="I10">
        <v>35.86</v>
      </c>
    </row>
    <row r="11" spans="1:9" x14ac:dyDescent="0.25">
      <c r="A11" s="1">
        <v>45782.876030092593</v>
      </c>
      <c r="B11">
        <v>4</v>
      </c>
      <c r="C11">
        <v>1270.5899999999999</v>
      </c>
      <c r="D11">
        <v>1.681</v>
      </c>
      <c r="E11">
        <v>23.6</v>
      </c>
      <c r="F11">
        <v>230.5</v>
      </c>
      <c r="G11">
        <v>0.3</v>
      </c>
      <c r="H11">
        <v>15</v>
      </c>
      <c r="I11">
        <v>35.69</v>
      </c>
    </row>
    <row r="12" spans="1:9" x14ac:dyDescent="0.25">
      <c r="A12" s="1">
        <v>45782.876064814816</v>
      </c>
      <c r="B12">
        <v>4.5</v>
      </c>
      <c r="C12">
        <v>1460.7239999999999</v>
      </c>
      <c r="D12">
        <v>2.0470000000000002</v>
      </c>
      <c r="E12">
        <v>24</v>
      </c>
      <c r="F12">
        <v>266.7</v>
      </c>
      <c r="G12">
        <v>0.3</v>
      </c>
      <c r="H12">
        <v>15</v>
      </c>
      <c r="I12">
        <v>32.97</v>
      </c>
    </row>
    <row r="13" spans="1:9" x14ac:dyDescent="0.25">
      <c r="A13" s="1">
        <v>45782.876099537039</v>
      </c>
      <c r="B13">
        <v>5</v>
      </c>
      <c r="C13">
        <v>1595.7449999999999</v>
      </c>
      <c r="D13">
        <v>2.3679999999999999</v>
      </c>
      <c r="E13">
        <v>24.4</v>
      </c>
      <c r="F13">
        <v>293.10000000000002</v>
      </c>
      <c r="G13">
        <v>0.9</v>
      </c>
      <c r="H13">
        <v>15</v>
      </c>
      <c r="I13">
        <v>31.67</v>
      </c>
    </row>
    <row r="14" spans="1:9" x14ac:dyDescent="0.25">
      <c r="A14" s="1">
        <v>45782.876134259262</v>
      </c>
      <c r="B14">
        <v>5.5</v>
      </c>
      <c r="C14">
        <v>1780.221</v>
      </c>
      <c r="D14">
        <v>2.91</v>
      </c>
      <c r="E14">
        <v>24.5</v>
      </c>
      <c r="F14">
        <v>331.9</v>
      </c>
      <c r="G14">
        <v>0.5</v>
      </c>
      <c r="H14">
        <v>15</v>
      </c>
      <c r="I14">
        <v>28.35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B7EA8-81BF-4257-91E1-3ED82A455D5A}">
  <dimension ref="A1:I14"/>
  <sheetViews>
    <sheetView workbookViewId="0">
      <selection activeCell="C4" sqref="C4:C14"/>
    </sheetView>
  </sheetViews>
  <sheetFormatPr defaultRowHeight="15" x14ac:dyDescent="0.25"/>
  <cols>
    <col min="1" max="1" width="17.5703125" customWidth="1"/>
  </cols>
  <sheetData>
    <row r="1" spans="1:9" x14ac:dyDescent="0.25">
      <c r="A1" t="s">
        <v>0</v>
      </c>
      <c r="B1" t="s">
        <v>18</v>
      </c>
    </row>
    <row r="2" spans="1:9" x14ac:dyDescent="0.25">
      <c r="A2" t="s">
        <v>17</v>
      </c>
    </row>
    <row r="3" spans="1:9" x14ac:dyDescent="0.25">
      <c r="A3" t="s">
        <v>16</v>
      </c>
    </row>
    <row r="4" spans="1:9" x14ac:dyDescent="0.25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</row>
    <row r="5" spans="1:9" x14ac:dyDescent="0.25">
      <c r="A5" s="1">
        <v>45782.876238425924</v>
      </c>
      <c r="B5">
        <v>1</v>
      </c>
      <c r="C5">
        <v>502.48599999999999</v>
      </c>
      <c r="D5">
        <v>0.496</v>
      </c>
      <c r="E5">
        <v>25</v>
      </c>
      <c r="F5">
        <v>84.8</v>
      </c>
      <c r="G5">
        <v>0</v>
      </c>
      <c r="H5">
        <v>15</v>
      </c>
      <c r="I5">
        <v>30.25</v>
      </c>
    </row>
    <row r="6" spans="1:9" x14ac:dyDescent="0.25">
      <c r="A6" s="1">
        <v>45782.876273148147</v>
      </c>
      <c r="B6">
        <v>1.5</v>
      </c>
      <c r="C6">
        <v>503.214</v>
      </c>
      <c r="D6">
        <v>0.66100000000000003</v>
      </c>
      <c r="E6">
        <v>24.5</v>
      </c>
      <c r="F6">
        <v>105.1</v>
      </c>
      <c r="G6">
        <v>-0.5</v>
      </c>
      <c r="H6">
        <v>15</v>
      </c>
      <c r="I6">
        <v>34.03</v>
      </c>
    </row>
    <row r="7" spans="1:9" x14ac:dyDescent="0.25">
      <c r="A7" s="1">
        <v>45782.876307870371</v>
      </c>
      <c r="B7">
        <v>2</v>
      </c>
      <c r="C7">
        <v>642.98800000000006</v>
      </c>
      <c r="D7">
        <v>0.83799999999999997</v>
      </c>
      <c r="E7">
        <v>25</v>
      </c>
      <c r="F7">
        <v>127.1</v>
      </c>
      <c r="G7">
        <v>0</v>
      </c>
      <c r="H7">
        <v>15</v>
      </c>
      <c r="I7">
        <v>35.82</v>
      </c>
    </row>
    <row r="8" spans="1:9" x14ac:dyDescent="0.25">
      <c r="A8" s="1">
        <v>45782.876342592594</v>
      </c>
      <c r="B8">
        <v>2.5</v>
      </c>
      <c r="C8">
        <v>803.40300000000002</v>
      </c>
      <c r="D8">
        <v>1.0309999999999999</v>
      </c>
      <c r="E8">
        <v>25.1</v>
      </c>
      <c r="F8">
        <v>153.30000000000001</v>
      </c>
      <c r="G8">
        <v>0.1</v>
      </c>
      <c r="H8">
        <v>15</v>
      </c>
      <c r="I8">
        <v>36.36</v>
      </c>
    </row>
    <row r="9" spans="1:9" x14ac:dyDescent="0.25">
      <c r="A9" s="1">
        <v>45782.876377314817</v>
      </c>
      <c r="B9">
        <v>3</v>
      </c>
      <c r="C9">
        <v>980.77700000000004</v>
      </c>
      <c r="D9">
        <v>1.2669999999999999</v>
      </c>
      <c r="E9">
        <v>25.2</v>
      </c>
      <c r="F9">
        <v>181.2</v>
      </c>
      <c r="G9">
        <v>0.6</v>
      </c>
      <c r="H9">
        <v>15</v>
      </c>
      <c r="I9">
        <v>35.53</v>
      </c>
    </row>
    <row r="10" spans="1:9" x14ac:dyDescent="0.25">
      <c r="A10" s="1">
        <v>45782.87641203704</v>
      </c>
      <c r="B10">
        <v>3.5</v>
      </c>
      <c r="C10">
        <v>1129.008</v>
      </c>
      <c r="D10">
        <v>1.4790000000000001</v>
      </c>
      <c r="E10">
        <v>25.4</v>
      </c>
      <c r="F10">
        <v>205.4</v>
      </c>
      <c r="G10">
        <v>0.1</v>
      </c>
      <c r="H10">
        <v>15</v>
      </c>
      <c r="I10">
        <v>35.49</v>
      </c>
    </row>
    <row r="11" spans="1:9" x14ac:dyDescent="0.25">
      <c r="A11" s="1">
        <v>45782.876446759263</v>
      </c>
      <c r="B11">
        <v>4</v>
      </c>
      <c r="C11">
        <v>1281.652</v>
      </c>
      <c r="D11">
        <v>1.712</v>
      </c>
      <c r="E11">
        <v>25.6</v>
      </c>
      <c r="F11">
        <v>232.7</v>
      </c>
      <c r="G11">
        <v>0.2</v>
      </c>
      <c r="H11">
        <v>15</v>
      </c>
      <c r="I11">
        <v>35.04</v>
      </c>
    </row>
    <row r="12" spans="1:9" x14ac:dyDescent="0.25">
      <c r="A12" s="1">
        <v>45782.876469907409</v>
      </c>
      <c r="B12">
        <v>4.5</v>
      </c>
      <c r="C12">
        <v>1471.471</v>
      </c>
      <c r="D12">
        <v>2.0880000000000001</v>
      </c>
      <c r="E12">
        <v>25.9</v>
      </c>
      <c r="F12">
        <v>268.7</v>
      </c>
      <c r="G12">
        <v>0.3</v>
      </c>
      <c r="H12">
        <v>15</v>
      </c>
      <c r="I12">
        <v>32.32</v>
      </c>
    </row>
    <row r="13" spans="1:9" x14ac:dyDescent="0.25">
      <c r="A13" s="1">
        <v>45782.876504629632</v>
      </c>
      <c r="B13">
        <v>5</v>
      </c>
      <c r="C13">
        <v>1601.846</v>
      </c>
      <c r="D13">
        <v>2.4119999999999999</v>
      </c>
      <c r="E13">
        <v>26.3</v>
      </c>
      <c r="F13">
        <v>294.39999999999998</v>
      </c>
      <c r="G13">
        <v>0.3</v>
      </c>
      <c r="H13">
        <v>15</v>
      </c>
      <c r="I13">
        <v>31.1</v>
      </c>
    </row>
    <row r="14" spans="1:9" x14ac:dyDescent="0.25">
      <c r="A14" s="1">
        <v>45782.876539351855</v>
      </c>
      <c r="B14">
        <v>5.5</v>
      </c>
      <c r="C14">
        <v>1790.692</v>
      </c>
      <c r="D14">
        <v>2.9769999999999999</v>
      </c>
      <c r="E14">
        <v>26.8</v>
      </c>
      <c r="F14">
        <v>334.6</v>
      </c>
      <c r="G14">
        <v>0.4</v>
      </c>
      <c r="H14">
        <v>15</v>
      </c>
      <c r="I14">
        <v>27.71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F1D53-2FD9-4E4A-9413-5C701B8A7FE2}">
  <dimension ref="A1:I14"/>
  <sheetViews>
    <sheetView workbookViewId="0">
      <selection activeCell="C5" sqref="C5:C14"/>
    </sheetView>
  </sheetViews>
  <sheetFormatPr defaultRowHeight="15" x14ac:dyDescent="0.25"/>
  <cols>
    <col min="1" max="1" width="20.85546875" customWidth="1"/>
  </cols>
  <sheetData>
    <row r="1" spans="1:9" x14ac:dyDescent="0.25">
      <c r="A1" t="s">
        <v>0</v>
      </c>
      <c r="B1" t="s">
        <v>24</v>
      </c>
    </row>
    <row r="2" spans="1:9" x14ac:dyDescent="0.25">
      <c r="A2" t="s">
        <v>23</v>
      </c>
    </row>
    <row r="3" spans="1:9" x14ac:dyDescent="0.25">
      <c r="A3" t="s">
        <v>22</v>
      </c>
    </row>
    <row r="4" spans="1:9" x14ac:dyDescent="0.25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</row>
    <row r="5" spans="1:9" x14ac:dyDescent="0.25">
      <c r="A5" s="1">
        <v>45780.811249999999</v>
      </c>
      <c r="B5">
        <v>1</v>
      </c>
      <c r="C5">
        <v>546.23900000000003</v>
      </c>
      <c r="D5">
        <v>0.49199999999999999</v>
      </c>
      <c r="E5">
        <v>26.9</v>
      </c>
      <c r="F5">
        <v>85.1</v>
      </c>
      <c r="G5">
        <v>0</v>
      </c>
      <c r="H5">
        <v>0</v>
      </c>
      <c r="I5">
        <v>0</v>
      </c>
    </row>
    <row r="6" spans="1:9" x14ac:dyDescent="0.25">
      <c r="A6" s="1">
        <v>45780.811284722222</v>
      </c>
      <c r="B6">
        <v>1.5</v>
      </c>
      <c r="C6">
        <v>517.29700000000003</v>
      </c>
      <c r="D6">
        <v>0.66</v>
      </c>
      <c r="E6">
        <v>26.8</v>
      </c>
      <c r="F6">
        <v>105</v>
      </c>
      <c r="G6">
        <v>0</v>
      </c>
      <c r="H6">
        <v>15</v>
      </c>
      <c r="I6">
        <v>34.06</v>
      </c>
    </row>
    <row r="7" spans="1:9" x14ac:dyDescent="0.25">
      <c r="A7" s="1">
        <v>45780.811331018522</v>
      </c>
      <c r="B7">
        <v>2</v>
      </c>
      <c r="C7">
        <v>664.63099999999997</v>
      </c>
      <c r="D7">
        <v>0.84099999999999997</v>
      </c>
      <c r="E7">
        <v>26.8</v>
      </c>
      <c r="F7">
        <v>127.7</v>
      </c>
      <c r="G7">
        <v>0</v>
      </c>
      <c r="H7">
        <v>15</v>
      </c>
      <c r="I7">
        <v>35.67</v>
      </c>
    </row>
    <row r="8" spans="1:9" x14ac:dyDescent="0.25">
      <c r="A8" s="1">
        <v>45780.811377314814</v>
      </c>
      <c r="B8">
        <v>2.5</v>
      </c>
      <c r="C8">
        <v>826.92700000000002</v>
      </c>
      <c r="D8">
        <v>1.04</v>
      </c>
      <c r="E8">
        <v>26.8</v>
      </c>
      <c r="F8">
        <v>154.30000000000001</v>
      </c>
      <c r="G8">
        <v>0.1</v>
      </c>
      <c r="H8">
        <v>15</v>
      </c>
      <c r="I8">
        <v>36.07</v>
      </c>
    </row>
    <row r="9" spans="1:9" x14ac:dyDescent="0.25">
      <c r="A9" s="1">
        <v>45780.811412037037</v>
      </c>
      <c r="B9">
        <v>3</v>
      </c>
      <c r="C9">
        <v>1008.335</v>
      </c>
      <c r="D9">
        <v>1.274</v>
      </c>
      <c r="E9">
        <v>26.8</v>
      </c>
      <c r="F9">
        <v>181.3</v>
      </c>
      <c r="G9">
        <v>0.1</v>
      </c>
      <c r="H9">
        <v>15</v>
      </c>
      <c r="I9">
        <v>35.33</v>
      </c>
    </row>
    <row r="10" spans="1:9" x14ac:dyDescent="0.25">
      <c r="A10" s="1">
        <v>45780.81145833333</v>
      </c>
      <c r="B10">
        <v>3.5</v>
      </c>
      <c r="C10">
        <v>1154.579</v>
      </c>
      <c r="D10">
        <v>1.4790000000000001</v>
      </c>
      <c r="E10">
        <v>26.9</v>
      </c>
      <c r="F10">
        <v>205.4</v>
      </c>
      <c r="G10">
        <v>0.1</v>
      </c>
      <c r="H10">
        <v>15</v>
      </c>
      <c r="I10">
        <v>35.49</v>
      </c>
    </row>
    <row r="11" spans="1:9" x14ac:dyDescent="0.25">
      <c r="A11" s="1">
        <v>45780.811493055553</v>
      </c>
      <c r="B11">
        <v>4</v>
      </c>
      <c r="C11">
        <v>1317.569</v>
      </c>
      <c r="D11">
        <v>1.7230000000000001</v>
      </c>
      <c r="E11">
        <v>27.1</v>
      </c>
      <c r="F11">
        <v>233.2</v>
      </c>
      <c r="G11">
        <v>0.2</v>
      </c>
      <c r="H11">
        <v>15</v>
      </c>
      <c r="I11">
        <v>34.82</v>
      </c>
    </row>
    <row r="12" spans="1:9" x14ac:dyDescent="0.25">
      <c r="A12" s="1">
        <v>45780.811539351853</v>
      </c>
      <c r="B12">
        <v>4.5</v>
      </c>
      <c r="C12">
        <v>1504.0039999999999</v>
      </c>
      <c r="D12">
        <v>2.0870000000000002</v>
      </c>
      <c r="E12">
        <v>27.3</v>
      </c>
      <c r="F12">
        <v>268.5</v>
      </c>
      <c r="G12">
        <v>0.2</v>
      </c>
      <c r="H12">
        <v>15</v>
      </c>
      <c r="I12">
        <v>32.33</v>
      </c>
    </row>
    <row r="13" spans="1:9" x14ac:dyDescent="0.25">
      <c r="A13" s="1">
        <v>45780.811574074076</v>
      </c>
      <c r="B13">
        <v>5</v>
      </c>
      <c r="C13">
        <v>1637.32</v>
      </c>
      <c r="D13">
        <v>2.4129999999999998</v>
      </c>
      <c r="E13">
        <v>27.7</v>
      </c>
      <c r="F13">
        <v>293.5</v>
      </c>
      <c r="G13">
        <v>0.3</v>
      </c>
      <c r="H13">
        <v>15</v>
      </c>
      <c r="I13">
        <v>31.08</v>
      </c>
    </row>
    <row r="14" spans="1:9" x14ac:dyDescent="0.25">
      <c r="A14" s="1">
        <v>45780.811620370368</v>
      </c>
      <c r="B14">
        <v>5.5</v>
      </c>
      <c r="C14">
        <v>1829.7660000000001</v>
      </c>
      <c r="D14">
        <v>2.972</v>
      </c>
      <c r="E14">
        <v>28.1</v>
      </c>
      <c r="F14">
        <v>333.8</v>
      </c>
      <c r="G14">
        <v>0.4</v>
      </c>
      <c r="H14">
        <v>15</v>
      </c>
      <c r="I14">
        <v>27.75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117DB-68D9-4711-A721-94F42ABA1D76}">
  <dimension ref="A1:I14"/>
  <sheetViews>
    <sheetView workbookViewId="0">
      <selection activeCell="C5" sqref="C5:C14"/>
    </sheetView>
  </sheetViews>
  <sheetFormatPr defaultRowHeight="15" x14ac:dyDescent="0.25"/>
  <cols>
    <col min="1" max="1" width="18.85546875" customWidth="1"/>
  </cols>
  <sheetData>
    <row r="1" spans="1:9" x14ac:dyDescent="0.25">
      <c r="A1" t="s">
        <v>0</v>
      </c>
      <c r="B1" t="s">
        <v>15</v>
      </c>
    </row>
    <row r="2" spans="1:9" x14ac:dyDescent="0.25">
      <c r="A2" t="s">
        <v>14</v>
      </c>
    </row>
    <row r="3" spans="1:9" x14ac:dyDescent="0.25">
      <c r="A3" t="s">
        <v>13</v>
      </c>
    </row>
    <row r="4" spans="1:9" x14ac:dyDescent="0.25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</row>
    <row r="5" spans="1:9" x14ac:dyDescent="0.25">
      <c r="A5" s="1">
        <v>45780.811909722222</v>
      </c>
      <c r="B5">
        <v>1</v>
      </c>
      <c r="C5">
        <v>351.50799999999998</v>
      </c>
      <c r="D5">
        <v>0.49199999999999999</v>
      </c>
      <c r="E5">
        <v>26.8</v>
      </c>
      <c r="F5">
        <v>78.5</v>
      </c>
      <c r="G5">
        <v>0</v>
      </c>
      <c r="H5">
        <v>0</v>
      </c>
      <c r="I5">
        <v>0</v>
      </c>
    </row>
    <row r="6" spans="1:9" x14ac:dyDescent="0.25">
      <c r="A6" s="1">
        <v>45780.811956018515</v>
      </c>
      <c r="B6">
        <v>1.5</v>
      </c>
      <c r="C6">
        <v>502.72899999999998</v>
      </c>
      <c r="D6">
        <v>0.66</v>
      </c>
      <c r="E6">
        <v>26.7</v>
      </c>
      <c r="F6">
        <v>103.1</v>
      </c>
      <c r="G6">
        <v>0</v>
      </c>
      <c r="H6">
        <v>15</v>
      </c>
      <c r="I6">
        <v>34.1</v>
      </c>
    </row>
    <row r="7" spans="1:9" x14ac:dyDescent="0.25">
      <c r="A7" s="1">
        <v>45780.811990740738</v>
      </c>
      <c r="B7">
        <v>2</v>
      </c>
      <c r="C7">
        <v>660.80600000000004</v>
      </c>
      <c r="D7">
        <v>0.83499999999999996</v>
      </c>
      <c r="E7">
        <v>26.7</v>
      </c>
      <c r="F7">
        <v>127.2</v>
      </c>
      <c r="G7">
        <v>0</v>
      </c>
      <c r="H7">
        <v>15</v>
      </c>
      <c r="I7">
        <v>35.909999999999997</v>
      </c>
    </row>
    <row r="8" spans="1:9" x14ac:dyDescent="0.25">
      <c r="A8" s="1">
        <v>45780.812037037038</v>
      </c>
      <c r="B8">
        <v>2.5</v>
      </c>
      <c r="C8">
        <v>825.827</v>
      </c>
      <c r="D8">
        <v>1.0349999999999999</v>
      </c>
      <c r="E8">
        <v>26.7</v>
      </c>
      <c r="F8">
        <v>153.30000000000001</v>
      </c>
      <c r="G8">
        <v>0.1</v>
      </c>
      <c r="H8">
        <v>15</v>
      </c>
      <c r="I8">
        <v>36.21</v>
      </c>
    </row>
    <row r="9" spans="1:9" x14ac:dyDescent="0.25">
      <c r="A9" s="1">
        <v>45780.812071759261</v>
      </c>
      <c r="B9">
        <v>3</v>
      </c>
      <c r="C9">
        <v>1002.671</v>
      </c>
      <c r="D9">
        <v>1.2649999999999999</v>
      </c>
      <c r="E9">
        <v>26.7</v>
      </c>
      <c r="F9">
        <v>181.2</v>
      </c>
      <c r="G9">
        <v>0.1</v>
      </c>
      <c r="H9">
        <v>15</v>
      </c>
      <c r="I9">
        <v>35.58</v>
      </c>
    </row>
    <row r="10" spans="1:9" x14ac:dyDescent="0.25">
      <c r="A10" s="1">
        <v>45780.812118055554</v>
      </c>
      <c r="B10">
        <v>3.5</v>
      </c>
      <c r="C10">
        <v>1158.6859999999999</v>
      </c>
      <c r="D10">
        <v>1.476</v>
      </c>
      <c r="E10">
        <v>26.9</v>
      </c>
      <c r="F10">
        <v>205.2</v>
      </c>
      <c r="G10">
        <v>0.1</v>
      </c>
      <c r="H10">
        <v>15</v>
      </c>
      <c r="I10">
        <v>35.549999999999997</v>
      </c>
    </row>
    <row r="11" spans="1:9" x14ac:dyDescent="0.25">
      <c r="A11" s="1">
        <v>45780.812152777777</v>
      </c>
      <c r="B11">
        <v>4</v>
      </c>
      <c r="C11">
        <v>1317.21</v>
      </c>
      <c r="D11">
        <v>1.7210000000000001</v>
      </c>
      <c r="E11">
        <v>27.1</v>
      </c>
      <c r="F11">
        <v>232.8</v>
      </c>
      <c r="G11">
        <v>0.2</v>
      </c>
      <c r="H11">
        <v>15</v>
      </c>
      <c r="I11">
        <v>34.86</v>
      </c>
    </row>
    <row r="12" spans="1:9" x14ac:dyDescent="0.25">
      <c r="A12" s="1">
        <v>45780.812199074076</v>
      </c>
      <c r="B12">
        <v>4.5</v>
      </c>
      <c r="C12">
        <v>1506.03</v>
      </c>
      <c r="D12">
        <v>2.09</v>
      </c>
      <c r="E12">
        <v>27.3</v>
      </c>
      <c r="F12">
        <v>268.3</v>
      </c>
      <c r="G12">
        <v>0.2</v>
      </c>
      <c r="H12">
        <v>15</v>
      </c>
      <c r="I12">
        <v>32.29</v>
      </c>
    </row>
    <row r="13" spans="1:9" x14ac:dyDescent="0.25">
      <c r="A13" s="1">
        <v>45780.8122337963</v>
      </c>
      <c r="B13">
        <v>5</v>
      </c>
      <c r="C13">
        <v>1636.556</v>
      </c>
      <c r="D13">
        <v>2.4060000000000001</v>
      </c>
      <c r="E13">
        <v>27.7</v>
      </c>
      <c r="F13">
        <v>293.7</v>
      </c>
      <c r="G13">
        <v>0.3</v>
      </c>
      <c r="H13">
        <v>15</v>
      </c>
      <c r="I13">
        <v>31.16</v>
      </c>
    </row>
    <row r="14" spans="1:9" x14ac:dyDescent="0.25">
      <c r="A14" s="1">
        <v>45780.812280092592</v>
      </c>
      <c r="B14">
        <v>5.5</v>
      </c>
      <c r="C14">
        <v>1829.954</v>
      </c>
      <c r="D14">
        <v>2.9649999999999999</v>
      </c>
      <c r="E14">
        <v>28.1</v>
      </c>
      <c r="F14">
        <v>334.2</v>
      </c>
      <c r="G14">
        <v>0.4</v>
      </c>
      <c r="H14">
        <v>15</v>
      </c>
      <c r="I14">
        <v>27.82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76DAD-FAA3-4473-AF37-D04FFB1CC0DC}">
  <dimension ref="A1:I14"/>
  <sheetViews>
    <sheetView workbookViewId="0">
      <selection activeCell="C5" sqref="C5:C14"/>
    </sheetView>
  </sheetViews>
  <sheetFormatPr defaultRowHeight="15" x14ac:dyDescent="0.25"/>
  <cols>
    <col min="1" max="1" width="15" customWidth="1"/>
  </cols>
  <sheetData>
    <row r="1" spans="1:9" x14ac:dyDescent="0.25">
      <c r="A1" t="s">
        <v>0</v>
      </c>
      <c r="B1" t="s">
        <v>21</v>
      </c>
    </row>
    <row r="2" spans="1:9" x14ac:dyDescent="0.25">
      <c r="A2" t="s">
        <v>20</v>
      </c>
    </row>
    <row r="3" spans="1:9" x14ac:dyDescent="0.25">
      <c r="A3" t="s">
        <v>19</v>
      </c>
    </row>
    <row r="4" spans="1:9" x14ac:dyDescent="0.25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</row>
    <row r="5" spans="1:9" x14ac:dyDescent="0.25">
      <c r="A5" s="1">
        <v>45780.812557870369</v>
      </c>
      <c r="B5">
        <v>1</v>
      </c>
      <c r="C5">
        <v>349.92899999999997</v>
      </c>
      <c r="D5">
        <v>0.49199999999999999</v>
      </c>
      <c r="E5">
        <v>26.9</v>
      </c>
      <c r="F5">
        <v>78.3</v>
      </c>
      <c r="G5">
        <v>0</v>
      </c>
      <c r="H5">
        <v>0</v>
      </c>
      <c r="I5">
        <v>0</v>
      </c>
    </row>
    <row r="6" spans="1:9" x14ac:dyDescent="0.25">
      <c r="A6" s="1">
        <v>45780.812604166669</v>
      </c>
      <c r="B6">
        <v>1.5</v>
      </c>
      <c r="C6">
        <v>504.37900000000002</v>
      </c>
      <c r="D6">
        <v>0.65800000000000003</v>
      </c>
      <c r="E6">
        <v>26.8</v>
      </c>
      <c r="F6">
        <v>102.6</v>
      </c>
      <c r="G6">
        <v>0</v>
      </c>
      <c r="H6">
        <v>15</v>
      </c>
      <c r="I6">
        <v>34.17</v>
      </c>
    </row>
    <row r="7" spans="1:9" x14ac:dyDescent="0.25">
      <c r="A7" s="1">
        <v>45780.812650462962</v>
      </c>
      <c r="B7">
        <v>2</v>
      </c>
      <c r="C7">
        <v>658.33</v>
      </c>
      <c r="D7">
        <v>0.83799999999999997</v>
      </c>
      <c r="E7">
        <v>26.8</v>
      </c>
      <c r="F7">
        <v>127.2</v>
      </c>
      <c r="G7">
        <v>0</v>
      </c>
      <c r="H7">
        <v>15</v>
      </c>
      <c r="I7">
        <v>35.82</v>
      </c>
    </row>
    <row r="8" spans="1:9" x14ac:dyDescent="0.25">
      <c r="A8" s="1">
        <v>45780.812685185185</v>
      </c>
      <c r="B8">
        <v>2.5</v>
      </c>
      <c r="C8">
        <v>829.721</v>
      </c>
      <c r="D8">
        <v>1.038</v>
      </c>
      <c r="E8">
        <v>26.8</v>
      </c>
      <c r="F8">
        <v>154.1</v>
      </c>
      <c r="G8">
        <v>0.1</v>
      </c>
      <c r="H8">
        <v>15</v>
      </c>
      <c r="I8">
        <v>36.14</v>
      </c>
    </row>
    <row r="9" spans="1:9" x14ac:dyDescent="0.25">
      <c r="A9" s="1">
        <v>45780.812731481485</v>
      </c>
      <c r="B9">
        <v>3</v>
      </c>
      <c r="C9">
        <v>1005.789</v>
      </c>
      <c r="D9">
        <v>1.2709999999999999</v>
      </c>
      <c r="E9">
        <v>26.9</v>
      </c>
      <c r="F9">
        <v>181.6</v>
      </c>
      <c r="G9">
        <v>0.1</v>
      </c>
      <c r="H9">
        <v>15</v>
      </c>
      <c r="I9">
        <v>35.409999999999997</v>
      </c>
    </row>
    <row r="10" spans="1:9" x14ac:dyDescent="0.25">
      <c r="A10" s="1">
        <v>45780.8127662037</v>
      </c>
      <c r="B10">
        <v>3.5</v>
      </c>
      <c r="C10">
        <v>1157.021</v>
      </c>
      <c r="D10">
        <v>1.4790000000000001</v>
      </c>
      <c r="E10">
        <v>27</v>
      </c>
      <c r="F10">
        <v>205.3</v>
      </c>
      <c r="G10">
        <v>0.1</v>
      </c>
      <c r="H10">
        <v>15</v>
      </c>
      <c r="I10">
        <v>35.49</v>
      </c>
    </row>
    <row r="11" spans="1:9" x14ac:dyDescent="0.25">
      <c r="A11" s="1">
        <v>45780.8128125</v>
      </c>
      <c r="B11">
        <v>4</v>
      </c>
      <c r="C11">
        <v>1315.9780000000001</v>
      </c>
      <c r="D11">
        <v>1.7230000000000001</v>
      </c>
      <c r="E11">
        <v>27.2</v>
      </c>
      <c r="F11">
        <v>233.1</v>
      </c>
      <c r="G11">
        <v>0.2</v>
      </c>
      <c r="H11">
        <v>15</v>
      </c>
      <c r="I11">
        <v>34.82</v>
      </c>
    </row>
    <row r="12" spans="1:9" x14ac:dyDescent="0.25">
      <c r="A12" s="1">
        <v>45780.812847222223</v>
      </c>
      <c r="B12">
        <v>4.5</v>
      </c>
      <c r="C12">
        <v>1506.575</v>
      </c>
      <c r="D12">
        <v>2.0910000000000002</v>
      </c>
      <c r="E12">
        <v>27.5</v>
      </c>
      <c r="F12">
        <v>268.3</v>
      </c>
      <c r="G12">
        <v>0.2</v>
      </c>
      <c r="H12">
        <v>15</v>
      </c>
      <c r="I12">
        <v>32.28</v>
      </c>
    </row>
    <row r="13" spans="1:9" x14ac:dyDescent="0.25">
      <c r="A13" s="1">
        <v>45780.812893518516</v>
      </c>
      <c r="B13">
        <v>5</v>
      </c>
      <c r="C13">
        <v>1635.962</v>
      </c>
      <c r="D13">
        <v>2.41</v>
      </c>
      <c r="E13">
        <v>27.8</v>
      </c>
      <c r="F13">
        <v>293.7</v>
      </c>
      <c r="G13">
        <v>0.3</v>
      </c>
      <c r="H13">
        <v>15</v>
      </c>
      <c r="I13">
        <v>31.12</v>
      </c>
    </row>
    <row r="14" spans="1:9" x14ac:dyDescent="0.25">
      <c r="A14" s="1">
        <v>45780.812928240739</v>
      </c>
      <c r="B14">
        <v>5.5</v>
      </c>
      <c r="C14">
        <v>1831.8679999999999</v>
      </c>
      <c r="D14">
        <v>2.9769999999999999</v>
      </c>
      <c r="E14">
        <v>28.3</v>
      </c>
      <c r="F14">
        <v>334</v>
      </c>
      <c r="G14">
        <v>0.4</v>
      </c>
      <c r="H14">
        <v>15</v>
      </c>
      <c r="I14">
        <v>27.71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8AA54-DE07-4854-ADFE-0814B485D874}">
  <dimension ref="A1:I14"/>
  <sheetViews>
    <sheetView workbookViewId="0">
      <selection activeCell="C5" sqref="C5:C14"/>
    </sheetView>
  </sheetViews>
  <sheetFormatPr defaultRowHeight="15" x14ac:dyDescent="0.25"/>
  <sheetData>
    <row r="1" spans="1:9" x14ac:dyDescent="0.25">
      <c r="A1" t="s">
        <v>0</v>
      </c>
      <c r="B1" t="s">
        <v>27</v>
      </c>
    </row>
    <row r="2" spans="1:9" x14ac:dyDescent="0.25">
      <c r="A2" t="s">
        <v>26</v>
      </c>
    </row>
    <row r="3" spans="1:9" x14ac:dyDescent="0.25">
      <c r="A3" t="s">
        <v>25</v>
      </c>
    </row>
    <row r="4" spans="1:9" x14ac:dyDescent="0.25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</row>
    <row r="5" spans="1:9" x14ac:dyDescent="0.25">
      <c r="A5" s="1">
        <v>45780.817025462966</v>
      </c>
      <c r="B5">
        <v>1</v>
      </c>
      <c r="C5">
        <v>341.11</v>
      </c>
      <c r="D5">
        <v>0.48899999999999999</v>
      </c>
      <c r="E5">
        <v>23.7</v>
      </c>
      <c r="F5">
        <v>75.599999999999994</v>
      </c>
      <c r="G5">
        <v>0.1</v>
      </c>
      <c r="H5">
        <v>0</v>
      </c>
      <c r="I5">
        <v>0</v>
      </c>
    </row>
    <row r="6" spans="1:9" x14ac:dyDescent="0.25">
      <c r="A6" s="1">
        <v>45780.817071759258</v>
      </c>
      <c r="B6">
        <v>1.5</v>
      </c>
      <c r="C6">
        <v>499.28699999999998</v>
      </c>
      <c r="D6">
        <v>0.65800000000000003</v>
      </c>
      <c r="E6">
        <v>23.8</v>
      </c>
      <c r="F6">
        <v>101.7</v>
      </c>
      <c r="G6">
        <v>0.1</v>
      </c>
      <c r="H6">
        <v>15</v>
      </c>
      <c r="I6">
        <v>34.17</v>
      </c>
    </row>
    <row r="7" spans="1:9" x14ac:dyDescent="0.25">
      <c r="A7" s="1">
        <v>45780.817106481481</v>
      </c>
      <c r="B7">
        <v>2</v>
      </c>
      <c r="C7">
        <v>654.94399999999996</v>
      </c>
      <c r="D7">
        <v>0.83099999999999996</v>
      </c>
      <c r="E7">
        <v>23.9</v>
      </c>
      <c r="F7">
        <v>125.9</v>
      </c>
      <c r="G7">
        <v>0.1</v>
      </c>
      <c r="H7">
        <v>15</v>
      </c>
      <c r="I7">
        <v>36.090000000000003</v>
      </c>
    </row>
    <row r="8" spans="1:9" x14ac:dyDescent="0.25">
      <c r="A8" s="1">
        <v>45780.817152777781</v>
      </c>
      <c r="B8">
        <v>2.5</v>
      </c>
      <c r="C8">
        <v>815.44799999999998</v>
      </c>
      <c r="D8">
        <v>1.0189999999999999</v>
      </c>
      <c r="E8">
        <v>24.1</v>
      </c>
      <c r="F8">
        <v>151.6</v>
      </c>
      <c r="G8">
        <v>0.1</v>
      </c>
      <c r="H8">
        <v>15</v>
      </c>
      <c r="I8">
        <v>36.799999999999997</v>
      </c>
    </row>
    <row r="9" spans="1:9" x14ac:dyDescent="0.25">
      <c r="A9" s="1">
        <v>45780.817187499997</v>
      </c>
      <c r="B9">
        <v>3</v>
      </c>
      <c r="C9">
        <v>989.56</v>
      </c>
      <c r="D9">
        <v>1.244</v>
      </c>
      <c r="E9">
        <v>24.3</v>
      </c>
      <c r="F9">
        <v>179</v>
      </c>
      <c r="G9">
        <v>0.2</v>
      </c>
      <c r="H9">
        <v>15</v>
      </c>
      <c r="I9">
        <v>36.18</v>
      </c>
    </row>
    <row r="10" spans="1:9" x14ac:dyDescent="0.25">
      <c r="A10" s="1">
        <v>45780.817233796297</v>
      </c>
      <c r="B10">
        <v>3.5</v>
      </c>
      <c r="C10">
        <v>1154.8679999999999</v>
      </c>
      <c r="D10">
        <v>1.466</v>
      </c>
      <c r="E10">
        <v>24.6</v>
      </c>
      <c r="F10">
        <v>205.5</v>
      </c>
      <c r="G10">
        <v>0.2</v>
      </c>
      <c r="H10">
        <v>15</v>
      </c>
      <c r="I10">
        <v>35.81</v>
      </c>
    </row>
    <row r="11" spans="1:9" x14ac:dyDescent="0.25">
      <c r="A11" s="1">
        <v>45780.81726851852</v>
      </c>
      <c r="B11">
        <v>4</v>
      </c>
      <c r="C11">
        <v>1306.229</v>
      </c>
      <c r="D11">
        <v>1.6870000000000001</v>
      </c>
      <c r="E11">
        <v>24.9</v>
      </c>
      <c r="F11">
        <v>230.9</v>
      </c>
      <c r="G11">
        <v>0.2</v>
      </c>
      <c r="H11">
        <v>15</v>
      </c>
      <c r="I11">
        <v>35.57</v>
      </c>
    </row>
    <row r="12" spans="1:9" x14ac:dyDescent="0.25">
      <c r="A12" s="1">
        <v>45780.817314814813</v>
      </c>
      <c r="B12">
        <v>4.5</v>
      </c>
      <c r="C12">
        <v>1496.4860000000001</v>
      </c>
      <c r="D12">
        <v>2.0510000000000002</v>
      </c>
      <c r="E12">
        <v>25.2</v>
      </c>
      <c r="F12">
        <v>266.60000000000002</v>
      </c>
      <c r="G12">
        <v>0.3</v>
      </c>
      <c r="H12">
        <v>15</v>
      </c>
      <c r="I12">
        <v>32.909999999999997</v>
      </c>
    </row>
    <row r="13" spans="1:9" x14ac:dyDescent="0.25">
      <c r="A13" s="1">
        <v>45780.817361111112</v>
      </c>
      <c r="B13">
        <v>5</v>
      </c>
      <c r="C13">
        <v>1632.623</v>
      </c>
      <c r="D13">
        <v>2.36</v>
      </c>
      <c r="E13">
        <v>25.7</v>
      </c>
      <c r="F13">
        <v>292.2</v>
      </c>
      <c r="G13">
        <v>0.3</v>
      </c>
      <c r="H13">
        <v>15</v>
      </c>
      <c r="I13">
        <v>31.77</v>
      </c>
    </row>
    <row r="14" spans="1:9" x14ac:dyDescent="0.25">
      <c r="A14" s="1">
        <v>45780.817395833335</v>
      </c>
      <c r="B14">
        <v>5.5</v>
      </c>
      <c r="C14">
        <v>1819.7159999999999</v>
      </c>
      <c r="D14">
        <v>2.903</v>
      </c>
      <c r="E14">
        <v>26.3</v>
      </c>
      <c r="F14">
        <v>331.5</v>
      </c>
      <c r="G14">
        <v>0.4</v>
      </c>
      <c r="H14">
        <v>15</v>
      </c>
      <c r="I14">
        <v>28.42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Charts</vt:lpstr>
      </vt:variant>
      <vt:variant>
        <vt:i4>2</vt:i4>
      </vt:variant>
    </vt:vector>
  </HeadingPairs>
  <TitlesOfParts>
    <vt:vector size="9" baseType="lpstr">
      <vt:lpstr>Sheet6</vt:lpstr>
      <vt:lpstr>8850YD50x36</vt:lpstr>
      <vt:lpstr>8850YD50x37</vt:lpstr>
      <vt:lpstr>8850YD50x38</vt:lpstr>
      <vt:lpstr>8850YD50x39</vt:lpstr>
      <vt:lpstr>8850YD50x40</vt:lpstr>
      <vt:lpstr>8850YD50x41</vt:lpstr>
      <vt:lpstr>Chart1</vt:lpstr>
      <vt:lpstr>Chart2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George Slama</cp:lastModifiedBy>
  <dcterms:created xsi:type="dcterms:W3CDTF">2025-05-07T00:54:27Z</dcterms:created>
  <dcterms:modified xsi:type="dcterms:W3CDTF">2025-05-12T13:23:07Z</dcterms:modified>
</cp:coreProperties>
</file>